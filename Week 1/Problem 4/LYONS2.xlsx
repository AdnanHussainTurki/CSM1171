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4295" windowHeight="462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12" i="1"/>
  <c r="G12"/>
  <c r="F12"/>
  <c r="E12"/>
  <c r="D12"/>
  <c r="C12"/>
  <c r="H11"/>
  <c r="G11"/>
  <c r="F11"/>
  <c r="E11"/>
  <c r="D11"/>
  <c r="C11"/>
  <c r="C10"/>
  <c r="H10"/>
  <c r="G10"/>
  <c r="F10"/>
  <c r="E10"/>
  <c r="D10"/>
  <c r="H6"/>
  <c r="H7"/>
  <c r="H8"/>
  <c r="H9"/>
  <c r="H5"/>
  <c r="G6"/>
  <c r="G7"/>
  <c r="G8"/>
  <c r="G9"/>
  <c r="G5"/>
  <c r="E6"/>
  <c r="E7"/>
  <c r="E8"/>
  <c r="E9"/>
  <c r="E5"/>
  <c r="D9"/>
  <c r="D8"/>
  <c r="D7"/>
  <c r="D6"/>
  <c r="D5"/>
</calcChain>
</file>

<file path=xl/sharedStrings.xml><?xml version="1.0" encoding="utf-8"?>
<sst xmlns="http://schemas.openxmlformats.org/spreadsheetml/2006/main" count="18" uniqueCount="18">
  <si>
    <t>LYONS INC</t>
  </si>
  <si>
    <t>PRODUCT</t>
  </si>
  <si>
    <t>COST PRICE PER LITRE</t>
  </si>
  <si>
    <t>MARK UP PER ITEM 35%</t>
  </si>
  <si>
    <t>SELLING PRICE</t>
  </si>
  <si>
    <t>LITRES SOLD</t>
  </si>
  <si>
    <t>TOTAL INCOME</t>
  </si>
  <si>
    <t>PROFIT</t>
  </si>
  <si>
    <t>TOTAL</t>
  </si>
  <si>
    <t>LOWEST</t>
  </si>
  <si>
    <t>Cascade</t>
  </si>
  <si>
    <t>Quench</t>
  </si>
  <si>
    <t>Xtra</t>
  </si>
  <si>
    <t>Sun Splash</t>
  </si>
  <si>
    <t>House Brand</t>
  </si>
  <si>
    <t>HIGHEST</t>
  </si>
  <si>
    <t>Orange JUICE Sales</t>
  </si>
  <si>
    <t>MARKUP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</si>
</sst>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0" fillId="0" borderId="1" xfId="0" applyNumberFormat="1" applyBorder="1"/>
    <xf numFmtId="49" fontId="0" fillId="0" borderId="1" xfId="0" applyNumberForma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pieChart>
        <c:varyColors val="1"/>
        <c:ser>
          <c:idx val="0"/>
          <c:order val="0"/>
          <c:dLbls>
            <c:showPercent val="1"/>
          </c:dLbls>
          <c:cat>
            <c:strRef>
              <c:f>Sheet1!$B$5:$B$12</c:f>
              <c:strCache>
                <c:ptCount val="8"/>
                <c:pt idx="0">
                  <c:v>Cascade</c:v>
                </c:pt>
                <c:pt idx="1">
                  <c:v>Quench</c:v>
                </c:pt>
                <c:pt idx="2">
                  <c:v>Xtra</c:v>
                </c:pt>
                <c:pt idx="3">
                  <c:v>Sun Splash</c:v>
                </c:pt>
                <c:pt idx="4">
                  <c:v>House Brand</c:v>
                </c:pt>
                <c:pt idx="5">
                  <c:v>TOTAL</c:v>
                </c:pt>
                <c:pt idx="6">
                  <c:v>HIGHEST</c:v>
                </c:pt>
                <c:pt idx="7">
                  <c:v>LOWEST</c:v>
                </c:pt>
              </c:strCache>
            </c:strRef>
          </c:cat>
          <c:val>
            <c:numRef>
              <c:f>Sheet1!$C$5:$C$12</c:f>
              <c:numCache>
                <c:formatCode>0.00</c:formatCode>
                <c:ptCount val="8"/>
                <c:pt idx="0">
                  <c:v>3.75</c:v>
                </c:pt>
                <c:pt idx="1">
                  <c:v>3.65</c:v>
                </c:pt>
                <c:pt idx="2">
                  <c:v>4.25</c:v>
                </c:pt>
                <c:pt idx="3">
                  <c:v>1.5</c:v>
                </c:pt>
                <c:pt idx="4">
                  <c:v>1.5</c:v>
                </c:pt>
                <c:pt idx="5">
                  <c:v>14.65</c:v>
                </c:pt>
                <c:pt idx="6">
                  <c:v>4.25</c:v>
                </c:pt>
                <c:pt idx="7">
                  <c:v>1.5</c:v>
                </c:pt>
              </c:numCache>
            </c:numRef>
          </c:val>
        </c:ser>
        <c:dLbls>
          <c:showPercent val="1"/>
        </c:dLbls>
        <c:firstSliceAng val="0"/>
      </c:pieChart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16</xdr:row>
      <xdr:rowOff>76200</xdr:rowOff>
    </xdr:from>
    <xdr:to>
      <xdr:col>7</xdr:col>
      <xdr:colOff>400050</xdr:colOff>
      <xdr:row>30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>
      <selection activeCell="G4" sqref="G4"/>
    </sheetView>
  </sheetViews>
  <sheetFormatPr defaultRowHeight="15"/>
  <cols>
    <col min="1" max="1" width="5.42578125" customWidth="1"/>
    <col min="2" max="2" width="12.42578125" customWidth="1"/>
    <col min="3" max="3" width="15.7109375" customWidth="1"/>
  </cols>
  <sheetData>
    <row r="1" spans="1:9">
      <c r="A1" s="8"/>
      <c r="B1" s="9"/>
      <c r="C1" s="9"/>
      <c r="D1" s="9"/>
      <c r="E1" s="9"/>
      <c r="F1" s="9"/>
      <c r="G1" s="9"/>
      <c r="H1" s="9"/>
      <c r="I1" s="10"/>
    </row>
    <row r="2" spans="1:9">
      <c r="A2" s="11"/>
      <c r="B2" s="6" t="s">
        <v>0</v>
      </c>
      <c r="C2" s="6"/>
      <c r="D2" s="6"/>
      <c r="E2" s="6"/>
      <c r="F2" s="6"/>
      <c r="G2" s="6"/>
      <c r="H2" s="6"/>
      <c r="I2" s="12"/>
    </row>
    <row r="3" spans="1:9">
      <c r="A3" s="11"/>
      <c r="B3" s="6" t="s">
        <v>16</v>
      </c>
      <c r="C3" s="6"/>
      <c r="D3" s="6"/>
      <c r="E3" s="6"/>
      <c r="F3" s="6"/>
      <c r="G3" s="6"/>
      <c r="H3" s="6"/>
      <c r="I3" s="12"/>
    </row>
    <row r="4" spans="1:9" s="3" customFormat="1" ht="60">
      <c r="A4" s="13"/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14"/>
    </row>
    <row r="5" spans="1:9">
      <c r="A5" s="11"/>
      <c r="B5" s="1" t="s">
        <v>10</v>
      </c>
      <c r="C5" s="4">
        <v>3.75</v>
      </c>
      <c r="D5" s="4">
        <f>(C5*C14*0.01)</f>
        <v>1.3125</v>
      </c>
      <c r="E5" s="4">
        <f>(SUM(C5,D5))</f>
        <v>5.0625</v>
      </c>
      <c r="F5" s="5">
        <v>234</v>
      </c>
      <c r="G5" s="4">
        <f>(E5*F5)</f>
        <v>1184.625</v>
      </c>
      <c r="H5" s="4">
        <f>(G5-(C5*F5))</f>
        <v>307.125</v>
      </c>
      <c r="I5" s="12"/>
    </row>
    <row r="6" spans="1:9">
      <c r="A6" s="11"/>
      <c r="B6" s="1" t="s">
        <v>11</v>
      </c>
      <c r="C6" s="4">
        <v>3.65</v>
      </c>
      <c r="D6" s="4">
        <f>(C6*C14*0.01)</f>
        <v>1.2775000000000001</v>
      </c>
      <c r="E6" s="4">
        <f t="shared" ref="E6:E9" si="0">(SUM(C6,D6))</f>
        <v>4.9275000000000002</v>
      </c>
      <c r="F6" s="5">
        <v>345</v>
      </c>
      <c r="G6" s="4">
        <f t="shared" ref="G6:G9" si="1">(E6*F6)</f>
        <v>1699.9875000000002</v>
      </c>
      <c r="H6" s="4">
        <f t="shared" ref="H6:H9" si="2">(G6-(C6*F6))</f>
        <v>440.73750000000018</v>
      </c>
      <c r="I6" s="12"/>
    </row>
    <row r="7" spans="1:9">
      <c r="A7" s="11"/>
      <c r="B7" s="1" t="s">
        <v>12</v>
      </c>
      <c r="C7" s="4">
        <v>4.25</v>
      </c>
      <c r="D7" s="4">
        <f>(C7*C14*0.01)</f>
        <v>1.4875</v>
      </c>
      <c r="E7" s="4">
        <f t="shared" si="0"/>
        <v>5.7374999999999998</v>
      </c>
      <c r="F7" s="5">
        <v>456</v>
      </c>
      <c r="G7" s="4">
        <f t="shared" si="1"/>
        <v>2616.2999999999997</v>
      </c>
      <c r="H7" s="4">
        <f t="shared" si="2"/>
        <v>678.29999999999973</v>
      </c>
      <c r="I7" s="12"/>
    </row>
    <row r="8" spans="1:9">
      <c r="A8" s="11"/>
      <c r="B8" s="1" t="s">
        <v>13</v>
      </c>
      <c r="C8" s="4">
        <v>1.5</v>
      </c>
      <c r="D8" s="4">
        <f>(C8*C14*0.01)</f>
        <v>0.52500000000000002</v>
      </c>
      <c r="E8" s="4">
        <f t="shared" si="0"/>
        <v>2.0249999999999999</v>
      </c>
      <c r="F8" s="5">
        <v>123</v>
      </c>
      <c r="G8" s="4">
        <f t="shared" si="1"/>
        <v>249.07499999999999</v>
      </c>
      <c r="H8" s="4">
        <f t="shared" si="2"/>
        <v>64.574999999999989</v>
      </c>
      <c r="I8" s="12"/>
    </row>
    <row r="9" spans="1:9">
      <c r="A9" s="11"/>
      <c r="B9" s="1" t="s">
        <v>14</v>
      </c>
      <c r="C9" s="4">
        <v>1.5</v>
      </c>
      <c r="D9" s="4">
        <f>(C9*C14*0.01)</f>
        <v>0.52500000000000002</v>
      </c>
      <c r="E9" s="4">
        <f t="shared" si="0"/>
        <v>2.0249999999999999</v>
      </c>
      <c r="F9" s="5">
        <v>245</v>
      </c>
      <c r="G9" s="4">
        <f t="shared" si="1"/>
        <v>496.125</v>
      </c>
      <c r="H9" s="4">
        <f t="shared" si="2"/>
        <v>128.625</v>
      </c>
      <c r="I9" s="12"/>
    </row>
    <row r="10" spans="1:9">
      <c r="A10" s="11"/>
      <c r="B10" s="1" t="s">
        <v>8</v>
      </c>
      <c r="C10" s="4">
        <f t="shared" ref="C10:H10" si="3">(SUM(C5,C6,C7,C8,C9))</f>
        <v>14.65</v>
      </c>
      <c r="D10" s="4">
        <f t="shared" si="3"/>
        <v>5.1275000000000004</v>
      </c>
      <c r="E10" s="4">
        <f t="shared" si="3"/>
        <v>19.777499999999996</v>
      </c>
      <c r="F10" s="4">
        <f t="shared" si="3"/>
        <v>1403</v>
      </c>
      <c r="G10" s="4">
        <f t="shared" si="3"/>
        <v>6246.1125000000002</v>
      </c>
      <c r="H10" s="4">
        <f t="shared" si="3"/>
        <v>1619.3625</v>
      </c>
      <c r="I10" s="12"/>
    </row>
    <row r="11" spans="1:9">
      <c r="A11" s="11"/>
      <c r="B11" s="1" t="s">
        <v>15</v>
      </c>
      <c r="C11" s="4">
        <f t="shared" ref="C11:H11" si="4">(MAX(C5:C9))</f>
        <v>4.25</v>
      </c>
      <c r="D11" s="4">
        <f t="shared" si="4"/>
        <v>1.4875</v>
      </c>
      <c r="E11" s="4">
        <f t="shared" si="4"/>
        <v>5.7374999999999998</v>
      </c>
      <c r="F11" s="4">
        <f t="shared" si="4"/>
        <v>456</v>
      </c>
      <c r="G11" s="4">
        <f t="shared" si="4"/>
        <v>2616.2999999999997</v>
      </c>
      <c r="H11" s="4">
        <f t="shared" si="4"/>
        <v>678.29999999999973</v>
      </c>
      <c r="I11" s="12"/>
    </row>
    <row r="12" spans="1:9">
      <c r="A12" s="11"/>
      <c r="B12" s="1" t="s">
        <v>9</v>
      </c>
      <c r="C12" s="4">
        <f t="shared" ref="C12:H12" si="5">(MIN(C6:C10))</f>
        <v>1.5</v>
      </c>
      <c r="D12" s="4">
        <f t="shared" si="5"/>
        <v>0.52500000000000002</v>
      </c>
      <c r="E12" s="4">
        <f t="shared" si="5"/>
        <v>2.0249999999999999</v>
      </c>
      <c r="F12" s="4">
        <f t="shared" si="5"/>
        <v>123</v>
      </c>
      <c r="G12" s="4">
        <f t="shared" si="5"/>
        <v>249.07499999999999</v>
      </c>
      <c r="H12" s="4">
        <f t="shared" si="5"/>
        <v>64.574999999999989</v>
      </c>
      <c r="I12" s="12"/>
    </row>
    <row r="13" spans="1:9">
      <c r="A13" s="11"/>
      <c r="B13" s="7"/>
      <c r="C13" s="7"/>
      <c r="D13" s="7"/>
      <c r="E13" s="7"/>
      <c r="F13" s="7"/>
      <c r="G13" s="7"/>
      <c r="H13" s="7"/>
      <c r="I13" s="12"/>
    </row>
    <row r="14" spans="1:9">
      <c r="A14" s="11"/>
      <c r="B14" s="1" t="s">
        <v>17</v>
      </c>
      <c r="C14" s="1">
        <v>35</v>
      </c>
      <c r="D14" s="7"/>
      <c r="E14" s="7"/>
      <c r="F14" s="7"/>
      <c r="G14" s="7"/>
      <c r="H14" s="7"/>
      <c r="I14" s="12"/>
    </row>
    <row r="15" spans="1:9">
      <c r="A15" s="11"/>
      <c r="B15" s="7"/>
      <c r="C15" s="7"/>
      <c r="D15" s="7"/>
      <c r="E15" s="7"/>
      <c r="F15" s="7"/>
      <c r="G15" s="7"/>
      <c r="H15" s="7"/>
      <c r="I15" s="12"/>
    </row>
    <row r="16" spans="1:9">
      <c r="A16" s="11"/>
      <c r="B16" s="7"/>
      <c r="C16" s="7"/>
      <c r="D16" s="7"/>
      <c r="E16" s="7"/>
      <c r="F16" s="7"/>
      <c r="G16" s="7"/>
      <c r="H16" s="7"/>
      <c r="I16" s="12"/>
    </row>
    <row r="17" spans="1:9">
      <c r="A17" s="11"/>
      <c r="B17" s="7"/>
      <c r="C17" s="7"/>
      <c r="D17" s="7"/>
      <c r="E17" s="7"/>
      <c r="F17" s="7"/>
      <c r="G17" s="7"/>
      <c r="H17" s="7"/>
      <c r="I17" s="12"/>
    </row>
    <row r="18" spans="1:9">
      <c r="A18" s="11"/>
      <c r="B18" s="7"/>
      <c r="C18" s="7"/>
      <c r="D18" s="7"/>
      <c r="E18" s="7"/>
      <c r="F18" s="7"/>
      <c r="G18" s="7"/>
      <c r="H18" s="7"/>
      <c r="I18" s="12"/>
    </row>
    <row r="19" spans="1:9">
      <c r="A19" s="11"/>
      <c r="B19" s="7"/>
      <c r="C19" s="7"/>
      <c r="D19" s="7"/>
      <c r="E19" s="7"/>
      <c r="F19" s="7"/>
      <c r="G19" s="7"/>
      <c r="H19" s="7"/>
      <c r="I19" s="12"/>
    </row>
    <row r="20" spans="1:9">
      <c r="A20" s="11"/>
      <c r="B20" s="7"/>
      <c r="C20" s="7"/>
      <c r="D20" s="7"/>
      <c r="E20" s="7"/>
      <c r="F20" s="7"/>
      <c r="G20" s="7"/>
      <c r="H20" s="7"/>
      <c r="I20" s="12"/>
    </row>
    <row r="21" spans="1:9">
      <c r="A21" s="11"/>
      <c r="B21" s="7"/>
      <c r="C21" s="7"/>
      <c r="D21" s="7"/>
      <c r="E21" s="7"/>
      <c r="F21" s="7"/>
      <c r="G21" s="7"/>
      <c r="H21" s="7"/>
      <c r="I21" s="12"/>
    </row>
    <row r="22" spans="1:9">
      <c r="A22" s="11"/>
      <c r="B22" s="7"/>
      <c r="C22" s="7"/>
      <c r="D22" s="7"/>
      <c r="E22" s="7"/>
      <c r="F22" s="7"/>
      <c r="G22" s="7"/>
      <c r="H22" s="7"/>
      <c r="I22" s="12"/>
    </row>
    <row r="23" spans="1:9">
      <c r="A23" s="11"/>
      <c r="B23" s="7"/>
      <c r="C23" s="7"/>
      <c r="D23" s="7"/>
      <c r="E23" s="7"/>
      <c r="F23" s="7"/>
      <c r="G23" s="7"/>
      <c r="H23" s="7"/>
      <c r="I23" s="12"/>
    </row>
    <row r="24" spans="1:9">
      <c r="A24" s="11"/>
      <c r="B24" s="7"/>
      <c r="C24" s="7"/>
      <c r="D24" s="7"/>
      <c r="E24" s="7"/>
      <c r="F24" s="7"/>
      <c r="G24" s="7"/>
      <c r="H24" s="7"/>
      <c r="I24" s="12"/>
    </row>
    <row r="25" spans="1:9">
      <c r="A25" s="11"/>
      <c r="B25" s="7"/>
      <c r="C25" s="7"/>
      <c r="D25" s="7"/>
      <c r="E25" s="7"/>
      <c r="F25" s="7"/>
      <c r="G25" s="7"/>
      <c r="H25" s="7"/>
      <c r="I25" s="12"/>
    </row>
    <row r="26" spans="1:9">
      <c r="A26" s="11"/>
      <c r="B26" s="7"/>
      <c r="C26" s="7"/>
      <c r="D26" s="7"/>
      <c r="E26" s="7"/>
      <c r="F26" s="7"/>
      <c r="G26" s="7"/>
      <c r="H26" s="7"/>
      <c r="I26" s="12"/>
    </row>
    <row r="27" spans="1:9">
      <c r="A27" s="11"/>
      <c r="B27" s="7"/>
      <c r="C27" s="7"/>
      <c r="D27" s="7"/>
      <c r="E27" s="7"/>
      <c r="F27" s="7"/>
      <c r="G27" s="7"/>
      <c r="H27" s="7"/>
      <c r="I27" s="12"/>
    </row>
    <row r="28" spans="1:9">
      <c r="A28" s="11"/>
      <c r="B28" s="7"/>
      <c r="C28" s="7"/>
      <c r="D28" s="7"/>
      <c r="E28" s="7"/>
      <c r="F28" s="7"/>
      <c r="G28" s="7"/>
      <c r="H28" s="7"/>
      <c r="I28" s="12"/>
    </row>
    <row r="29" spans="1:9">
      <c r="A29" s="11"/>
      <c r="B29" s="7"/>
      <c r="C29" s="7"/>
      <c r="D29" s="7"/>
      <c r="E29" s="7"/>
      <c r="F29" s="7"/>
      <c r="G29" s="7"/>
      <c r="H29" s="7"/>
      <c r="I29" s="12"/>
    </row>
    <row r="30" spans="1:9">
      <c r="A30" s="11"/>
      <c r="B30" s="7"/>
      <c r="C30" s="7"/>
      <c r="D30" s="7"/>
      <c r="E30" s="7"/>
      <c r="F30" s="7"/>
      <c r="G30" s="7"/>
      <c r="H30" s="7"/>
      <c r="I30" s="12"/>
    </row>
    <row r="31" spans="1:9">
      <c r="A31" s="11"/>
      <c r="B31" s="7"/>
      <c r="C31" s="7"/>
      <c r="D31" s="7"/>
      <c r="E31" s="7"/>
      <c r="F31" s="7"/>
      <c r="G31" s="7"/>
      <c r="H31" s="7"/>
      <c r="I31" s="12"/>
    </row>
    <row r="32" spans="1:9" ht="15.75" thickBot="1">
      <c r="A32" s="15"/>
      <c r="B32" s="16"/>
      <c r="C32" s="16"/>
      <c r="D32" s="16"/>
      <c r="E32" s="16"/>
      <c r="F32" s="16"/>
      <c r="G32" s="16"/>
      <c r="H32" s="16"/>
      <c r="I32" s="17"/>
    </row>
  </sheetData>
  <mergeCells count="2">
    <mergeCell ref="B2:H2"/>
    <mergeCell ref="B3:H3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3" sqref="B3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CSD</dc:creator>
  <cp:lastModifiedBy>CSD</cp:lastModifiedBy>
  <cp:lastPrinted>2017-05-10T05:55:24Z</cp:lastPrinted>
  <dcterms:created xsi:type="dcterms:W3CDTF">2017-05-10T05:30:12Z</dcterms:created>
  <dcterms:modified xsi:type="dcterms:W3CDTF">2017-05-10T05:55:26Z</dcterms:modified>
</cp:coreProperties>
</file>