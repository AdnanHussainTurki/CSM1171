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01"/>
  <workbookPr defaultThemeVersion="124226"/>
  <mc:AlternateContent xmlns:mc="http://schemas.openxmlformats.org/markup-compatibility/2006">
    <mc:Choice Requires="x15">
      <x15ac:absPath xmlns:x15ac="http://schemas.microsoft.com/office/spreadsheetml/2010/11/ac" url="I:\Adnan\Week 1\Problem 4\"/>
    </mc:Choice>
  </mc:AlternateContent>
  <xr:revisionPtr revIDLastSave="0" documentId="13_ncr:1_{E18DD29F-B84A-4AF5-9F1B-ED949EF64FA2}" xr6:coauthVersionLast="43" xr6:coauthVersionMax="43" xr10:uidLastSave="{00000000-0000-0000-0000-000000000000}"/>
  <bookViews>
    <workbookView xWindow="-120" yWindow="-120" windowWidth="57840" windowHeight="32190" xr2:uid="{00000000-000D-0000-FFFF-FFFF00000000}"/>
  </bookViews>
  <sheets>
    <sheet name="Sheet1" sheetId="1" r:id="rId1"/>
    <sheet name="Sheet2" sheetId="2" r:id="rId2"/>
    <sheet name="Sheet3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4" i="2" l="1"/>
  <c r="F13" i="1"/>
  <c r="C13" i="1"/>
  <c r="F11" i="1"/>
  <c r="C11" i="1"/>
  <c r="C10" i="1"/>
  <c r="C12" i="1" s="1"/>
  <c r="F10" i="1"/>
  <c r="F12" i="1" s="1"/>
  <c r="D9" i="1"/>
  <c r="E9" i="1" s="1"/>
  <c r="G9" i="1" s="1"/>
  <c r="H9" i="1" s="1"/>
  <c r="D8" i="1"/>
  <c r="E8" i="1" s="1"/>
  <c r="G8" i="1" s="1"/>
  <c r="H8" i="1" s="1"/>
  <c r="D7" i="1"/>
  <c r="E7" i="1" s="1"/>
  <c r="G7" i="1" s="1"/>
  <c r="H7" i="1" s="1"/>
  <c r="D6" i="1"/>
  <c r="D5" i="1"/>
  <c r="D13" i="1" s="1"/>
  <c r="D11" i="1" l="1"/>
  <c r="E5" i="1"/>
  <c r="D10" i="1"/>
  <c r="D12" i="1" s="1"/>
  <c r="E6" i="1"/>
  <c r="E13" i="1" l="1"/>
  <c r="G5" i="1"/>
  <c r="E11" i="1"/>
  <c r="E10" i="1"/>
  <c r="E12" i="1" s="1"/>
  <c r="G6" i="1"/>
  <c r="G13" i="1" l="1"/>
  <c r="G11" i="1"/>
  <c r="G10" i="1"/>
  <c r="G12" i="1" s="1"/>
  <c r="H5" i="1"/>
  <c r="H13" i="1" s="1"/>
  <c r="H6" i="1"/>
  <c r="H11" i="1" l="1"/>
  <c r="H10" i="1"/>
  <c r="H12" i="1" s="1"/>
</calcChain>
</file>

<file path=xl/sharedStrings.xml><?xml version="1.0" encoding="utf-8"?>
<sst xmlns="http://schemas.openxmlformats.org/spreadsheetml/2006/main" count="24" uniqueCount="23">
  <si>
    <t>LYONS INC</t>
  </si>
  <si>
    <t>PRODUCT</t>
  </si>
  <si>
    <t>COST PRICE PER LITRE</t>
  </si>
  <si>
    <t>MARK UP PER ITEM 35%</t>
  </si>
  <si>
    <t>SELLING PRICE</t>
  </si>
  <si>
    <t>LITRES SOLD</t>
  </si>
  <si>
    <t>TOTAL INCOME</t>
  </si>
  <si>
    <t>PROFIT</t>
  </si>
  <si>
    <t>TOTAL</t>
  </si>
  <si>
    <t>LOWEST</t>
  </si>
  <si>
    <t>Cascade</t>
  </si>
  <si>
    <t>Quench</t>
  </si>
  <si>
    <t>Xtra</t>
  </si>
  <si>
    <t>Sun Splash</t>
  </si>
  <si>
    <t>House Brand</t>
  </si>
  <si>
    <t>HIGHEST</t>
  </si>
  <si>
    <t>Orange JUICE Sales</t>
  </si>
  <si>
    <t>MARKUP %</t>
  </si>
  <si>
    <t>FORMALA USED</t>
  </si>
  <si>
    <t>AVERAGE</t>
  </si>
  <si>
    <t>SUM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</si>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</sst>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0" fillId="0" borderId="1" xfId="0" applyNumberFormat="1" applyBorder="1"/>
    <xf numFmtId="49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5"/>
  <sheetViews>
    <sheetView tabSelected="1" zoomScale="190" zoomScaleNormal="190" workbookViewId="0">
      <selection activeCell="B4" sqref="B4:H13"/>
    </sheetView>
  </sheetViews>
  <sheetFormatPr defaultRowHeight="15" x14ac:dyDescent="0.25"/>
  <cols>
    <col min="2" max="2" width="12.42578125" customWidth="1"/>
    <col min="3" max="3" width="15.7109375" customWidth="1"/>
  </cols>
  <sheetData>
    <row r="2" spans="2:8" x14ac:dyDescent="0.25">
      <c r="B2" s="6" t="s">
        <v>0</v>
      </c>
      <c r="C2" s="6"/>
      <c r="D2" s="6"/>
      <c r="E2" s="6"/>
      <c r="F2" s="6"/>
      <c r="G2" s="6"/>
      <c r="H2" s="6"/>
    </row>
    <row r="3" spans="2:8" x14ac:dyDescent="0.25">
      <c r="B3" s="6" t="s">
        <v>16</v>
      </c>
      <c r="C3" s="6"/>
      <c r="D3" s="6"/>
      <c r="E3" s="6"/>
      <c r="F3" s="6"/>
      <c r="G3" s="6"/>
      <c r="H3" s="6"/>
    </row>
    <row r="4" spans="2:8" s="3" customFormat="1" ht="60" x14ac:dyDescent="0.25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</row>
    <row r="5" spans="2:8" x14ac:dyDescent="0.25">
      <c r="B5" s="1" t="s">
        <v>10</v>
      </c>
      <c r="C5" s="4">
        <v>3.75</v>
      </c>
      <c r="D5" s="4">
        <f>(C5*C15*0.01)</f>
        <v>1.3125</v>
      </c>
      <c r="E5" s="4">
        <f>(SUM(C5,D5))</f>
        <v>5.0625</v>
      </c>
      <c r="F5" s="5">
        <v>234</v>
      </c>
      <c r="G5" s="4">
        <f>(E5*F5)</f>
        <v>1184.625</v>
      </c>
      <c r="H5" s="4">
        <f>(G5-(C5*F5))</f>
        <v>307.125</v>
      </c>
    </row>
    <row r="6" spans="2:8" x14ac:dyDescent="0.25">
      <c r="B6" s="1" t="s">
        <v>11</v>
      </c>
      <c r="C6" s="4">
        <v>3.65</v>
      </c>
      <c r="D6" s="4">
        <f>(C6*C15*0.01)</f>
        <v>1.2775000000000001</v>
      </c>
      <c r="E6" s="4">
        <f t="shared" ref="E6:E9" si="0">(SUM(C6,D6))</f>
        <v>4.9275000000000002</v>
      </c>
      <c r="F6" s="5">
        <v>345</v>
      </c>
      <c r="G6" s="4">
        <f t="shared" ref="G6:G9" si="1">(E6*F6)</f>
        <v>1699.9875000000002</v>
      </c>
      <c r="H6" s="4">
        <f t="shared" ref="H6:H9" si="2">(G6-(C6*F6))</f>
        <v>440.73750000000018</v>
      </c>
    </row>
    <row r="7" spans="2:8" x14ac:dyDescent="0.25">
      <c r="B7" s="1" t="s">
        <v>12</v>
      </c>
      <c r="C7" s="4">
        <v>4.25</v>
      </c>
      <c r="D7" s="4">
        <f>(C7*C15*0.01)</f>
        <v>1.4875</v>
      </c>
      <c r="E7" s="4">
        <f t="shared" si="0"/>
        <v>5.7374999999999998</v>
      </c>
      <c r="F7" s="5">
        <v>456</v>
      </c>
      <c r="G7" s="4">
        <f t="shared" si="1"/>
        <v>2616.2999999999997</v>
      </c>
      <c r="H7" s="4">
        <f t="shared" si="2"/>
        <v>678.29999999999973</v>
      </c>
    </row>
    <row r="8" spans="2:8" x14ac:dyDescent="0.25">
      <c r="B8" s="1" t="s">
        <v>13</v>
      </c>
      <c r="C8" s="4">
        <v>1.5</v>
      </c>
      <c r="D8" s="4">
        <f>(C8*C15*0.01)</f>
        <v>0.52500000000000002</v>
      </c>
      <c r="E8" s="4">
        <f t="shared" si="0"/>
        <v>2.0249999999999999</v>
      </c>
      <c r="F8" s="5">
        <v>123</v>
      </c>
      <c r="G8" s="4">
        <f t="shared" si="1"/>
        <v>249.07499999999999</v>
      </c>
      <c r="H8" s="4">
        <f t="shared" si="2"/>
        <v>64.574999999999989</v>
      </c>
    </row>
    <row r="9" spans="2:8" x14ac:dyDescent="0.25">
      <c r="B9" s="1" t="s">
        <v>14</v>
      </c>
      <c r="C9" s="4">
        <v>1.5</v>
      </c>
      <c r="D9" s="4">
        <f>(C9*C15*0.01)</f>
        <v>0.52500000000000002</v>
      </c>
      <c r="E9" s="4">
        <f t="shared" si="0"/>
        <v>2.0249999999999999</v>
      </c>
      <c r="F9" s="5">
        <v>245</v>
      </c>
      <c r="G9" s="4">
        <f t="shared" si="1"/>
        <v>496.125</v>
      </c>
      <c r="H9" s="4">
        <f t="shared" si="2"/>
        <v>128.625</v>
      </c>
    </row>
    <row r="10" spans="2:8" x14ac:dyDescent="0.25">
      <c r="B10" s="1" t="s">
        <v>8</v>
      </c>
      <c r="C10" s="4">
        <f t="shared" ref="C10:H10" si="3">(SUM(C5,C6,C7,C8,C9))</f>
        <v>14.65</v>
      </c>
      <c r="D10" s="4">
        <f t="shared" si="3"/>
        <v>5.1275000000000004</v>
      </c>
      <c r="E10" s="4">
        <f t="shared" si="3"/>
        <v>19.777499999999996</v>
      </c>
      <c r="F10" s="4">
        <f t="shared" si="3"/>
        <v>1403</v>
      </c>
      <c r="G10" s="4">
        <f t="shared" si="3"/>
        <v>6246.1125000000002</v>
      </c>
      <c r="H10" s="4">
        <f t="shared" si="3"/>
        <v>1619.3625</v>
      </c>
    </row>
    <row r="11" spans="2:8" x14ac:dyDescent="0.25">
      <c r="B11" s="1" t="s">
        <v>15</v>
      </c>
      <c r="C11" s="4">
        <f t="shared" ref="C11:H11" si="4">(MAX(C5:C9))</f>
        <v>4.25</v>
      </c>
      <c r="D11" s="4">
        <f t="shared" si="4"/>
        <v>1.4875</v>
      </c>
      <c r="E11" s="4">
        <f t="shared" si="4"/>
        <v>5.7374999999999998</v>
      </c>
      <c r="F11" s="4">
        <f t="shared" si="4"/>
        <v>456</v>
      </c>
      <c r="G11" s="4">
        <f t="shared" si="4"/>
        <v>2616.2999999999997</v>
      </c>
      <c r="H11" s="4">
        <f t="shared" si="4"/>
        <v>678.29999999999973</v>
      </c>
    </row>
    <row r="12" spans="2:8" x14ac:dyDescent="0.25">
      <c r="B12" s="1" t="s">
        <v>9</v>
      </c>
      <c r="C12" s="4">
        <f t="shared" ref="C12:H12" si="5">(MIN(C6:C10))</f>
        <v>1.5</v>
      </c>
      <c r="D12" s="4">
        <f t="shared" si="5"/>
        <v>0.52500000000000002</v>
      </c>
      <c r="E12" s="4">
        <f t="shared" si="5"/>
        <v>2.0249999999999999</v>
      </c>
      <c r="F12" s="4">
        <f t="shared" si="5"/>
        <v>123</v>
      </c>
      <c r="G12" s="4">
        <f t="shared" si="5"/>
        <v>249.07499999999999</v>
      </c>
      <c r="H12" s="4">
        <f t="shared" si="5"/>
        <v>64.574999999999989</v>
      </c>
    </row>
    <row r="13" spans="2:8" x14ac:dyDescent="0.25">
      <c r="B13" s="1" t="s">
        <v>19</v>
      </c>
      <c r="C13" s="4">
        <f t="shared" ref="C13:H13" si="6">(AVERAGE(C5:C9))</f>
        <v>2.93</v>
      </c>
      <c r="D13" s="4">
        <f t="shared" si="6"/>
        <v>1.0255000000000001</v>
      </c>
      <c r="E13" s="4">
        <f t="shared" si="6"/>
        <v>3.9554999999999993</v>
      </c>
      <c r="F13" s="4">
        <f t="shared" si="6"/>
        <v>280.60000000000002</v>
      </c>
      <c r="G13" s="4">
        <f t="shared" si="6"/>
        <v>1249.2225000000001</v>
      </c>
      <c r="H13" s="4">
        <f t="shared" si="6"/>
        <v>323.8725</v>
      </c>
    </row>
    <row r="15" spans="2:8" x14ac:dyDescent="0.25">
      <c r="B15" s="1" t="s">
        <v>17</v>
      </c>
      <c r="C15" s="1">
        <v>35</v>
      </c>
    </row>
  </sheetData>
  <mergeCells count="2">
    <mergeCell ref="B2:H2"/>
    <mergeCell ref="B3:H3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D7"/>
  <sheetViews>
    <sheetView workbookViewId="0">
      <selection activeCell="D4" sqref="D4"/>
    </sheetView>
  </sheetViews>
  <sheetFormatPr defaultRowHeight="15" x14ac:dyDescent="0.25"/>
  <cols>
    <col min="3" max="3" width="27.28515625" customWidth="1"/>
    <col min="4" max="4" width="9.140625" customWidth="1"/>
  </cols>
  <sheetData>
    <row r="3" spans="2:4" x14ac:dyDescent="0.25">
      <c r="B3" s="1" t="s">
        <v>18</v>
      </c>
      <c r="C3" s="1"/>
    </row>
    <row r="4" spans="2:4" x14ac:dyDescent="0.25">
      <c r="B4" s="1">
        <v>1</v>
      </c>
      <c r="C4" s="1" t="s">
        <v>20</v>
      </c>
      <c r="D4">
        <f>(SUM(C5,C6,C7,C8,C9))</f>
        <v>0</v>
      </c>
    </row>
    <row r="5" spans="2:4" x14ac:dyDescent="0.25">
      <c r="B5" s="1">
        <v>2</v>
      </c>
      <c r="C5" s="1" t="s">
        <v>19</v>
      </c>
    </row>
    <row r="6" spans="2:4" x14ac:dyDescent="0.25">
      <c r="B6" s="1">
        <v>3</v>
      </c>
      <c r="C6" s="1" t="s">
        <v>21</v>
      </c>
    </row>
    <row r="7" spans="2:4" x14ac:dyDescent="0.25">
      <c r="B7" s="1">
        <v>4</v>
      </c>
      <c r="C7" s="1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CSD</dc:creator>
  <cp:lastModifiedBy>Adnan</cp:lastModifiedBy>
  <cp:lastPrinted>2019-08-26T13:55:42Z</cp:lastPrinted>
  <dcterms:created xsi:type="dcterms:W3CDTF">2017-05-10T05:30:12Z</dcterms:created>
  <dcterms:modified xsi:type="dcterms:W3CDTF">2019-08-26T13:56:47Z</dcterms:modified>
</cp:coreProperties>
</file>