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11" i="1"/>
  <c r="F13"/>
  <c r="F14"/>
  <c r="F11"/>
  <c r="F10"/>
  <c r="D10"/>
  <c r="F12" s="1"/>
  <c r="F15" s="1"/>
  <c r="D12"/>
  <c r="D15" l="1"/>
  <c r="D16" s="1"/>
</calcChain>
</file>

<file path=xl/sharedStrings.xml><?xml version="1.0" encoding="utf-8"?>
<sst xmlns="http://schemas.openxmlformats.org/spreadsheetml/2006/main" count="35" uniqueCount="31">
  <si>
    <t>SALARY ADVICE FOR MARCH 2016</t>
  </si>
  <si>
    <t>EMPLOYEE</t>
  </si>
  <si>
    <t>STAFF NO</t>
  </si>
  <si>
    <t>DATE</t>
  </si>
  <si>
    <t>NEXT PAY DATE</t>
  </si>
  <si>
    <t>BASIC SALARY P.A.</t>
  </si>
  <si>
    <t>INCOME</t>
  </si>
  <si>
    <t>Basic Salary</t>
  </si>
  <si>
    <t>Housing Subsidy</t>
  </si>
  <si>
    <t>Vehicle Allowance</t>
  </si>
  <si>
    <t>AMOUNT</t>
  </si>
  <si>
    <t>DEDUCTIONS</t>
  </si>
  <si>
    <t>Pension @ 8%</t>
  </si>
  <si>
    <t>P.A.Y.E</t>
  </si>
  <si>
    <t>U.I.F.</t>
  </si>
  <si>
    <t>Medical Aid</t>
  </si>
  <si>
    <t>Bond Repayment</t>
  </si>
  <si>
    <t>Car allowance</t>
  </si>
  <si>
    <t>UIF 1% on Basic Salary + Housing Subsidy</t>
  </si>
  <si>
    <t>Housing Subsidy (per year)</t>
  </si>
  <si>
    <t>Pension Percent</t>
  </si>
  <si>
    <t>Gross Income</t>
  </si>
  <si>
    <t>Total Deductions</t>
  </si>
  <si>
    <t>Net Salary</t>
  </si>
  <si>
    <t>T MARONGO</t>
  </si>
  <si>
    <t>004</t>
  </si>
  <si>
    <t>Name</t>
  </si>
  <si>
    <t>Subject</t>
  </si>
  <si>
    <t>Question No.</t>
  </si>
  <si>
    <t>Mohd Adnan</t>
  </si>
  <si>
    <t>LAB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</si>
</sst>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6" xfId="0" applyFont="1" applyBorder="1"/>
    <xf numFmtId="0" fontId="3" fillId="0" borderId="0" xfId="0" applyFont="1"/>
    <xf numFmtId="0" fontId="4" fillId="0" borderId="5" xfId="0" applyFont="1" applyBorder="1"/>
    <xf numFmtId="0" fontId="2" fillId="0" borderId="1" xfId="0" applyFont="1" applyBorder="1"/>
    <xf numFmtId="0" fontId="4" fillId="0" borderId="6" xfId="0" applyFont="1" applyBorder="1"/>
    <xf numFmtId="0" fontId="4" fillId="0" borderId="1" xfId="0" applyFont="1" applyBorder="1"/>
    <xf numFmtId="0" fontId="4" fillId="0" borderId="7" xfId="0" applyFont="1" applyBorder="1"/>
    <xf numFmtId="0" fontId="1" fillId="0" borderId="8" xfId="0" applyFont="1" applyBorder="1"/>
    <xf numFmtId="0" fontId="4" fillId="0" borderId="9" xfId="0" applyFont="1" applyBorder="1"/>
    <xf numFmtId="0" fontId="1" fillId="0" borderId="13" xfId="0" applyFont="1" applyBorder="1"/>
    <xf numFmtId="0" fontId="1" fillId="0" borderId="14" xfId="0" applyFont="1" applyBorder="1"/>
    <xf numFmtId="0" fontId="4" fillId="0" borderId="8" xfId="0" applyFont="1" applyBorder="1"/>
    <xf numFmtId="0" fontId="4" fillId="0" borderId="11" xfId="0" applyFont="1" applyBorder="1"/>
    <xf numFmtId="164" fontId="1" fillId="0" borderId="1" xfId="0" applyNumberFormat="1" applyFont="1" applyBorder="1"/>
    <xf numFmtId="164" fontId="1" fillId="0" borderId="9" xfId="0" applyNumberFormat="1" applyFont="1" applyBorder="1"/>
    <xf numFmtId="164" fontId="1" fillId="0" borderId="12" xfId="0" applyNumberFormat="1" applyFont="1" applyBorder="1"/>
    <xf numFmtId="164" fontId="1" fillId="0" borderId="7" xfId="0" applyNumberFormat="1" applyFont="1" applyBorder="1"/>
    <xf numFmtId="164" fontId="1" fillId="0" borderId="10" xfId="0" applyNumberFormat="1" applyFont="1" applyBorder="1"/>
    <xf numFmtId="164" fontId="1" fillId="0" borderId="18" xfId="0" applyNumberFormat="1" applyFont="1" applyBorder="1" applyAlignment="1">
      <alignment horizontal="left"/>
    </xf>
    <xf numFmtId="164" fontId="1" fillId="0" borderId="19" xfId="0" applyNumberFormat="1" applyFont="1" applyBorder="1" applyAlignment="1">
      <alignment horizontal="left"/>
    </xf>
    <xf numFmtId="164" fontId="1" fillId="0" borderId="20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49" fontId="1" fillId="0" borderId="18" xfId="0" applyNumberFormat="1" applyFont="1" applyBorder="1" applyAlignment="1">
      <alignment horizontal="left"/>
    </xf>
    <xf numFmtId="49" fontId="1" fillId="0" borderId="19" xfId="0" applyNumberFormat="1" applyFont="1" applyBorder="1" applyAlignment="1">
      <alignment horizontal="left"/>
    </xf>
    <xf numFmtId="49" fontId="1" fillId="0" borderId="20" xfId="0" applyNumberFormat="1" applyFont="1" applyBorder="1" applyAlignment="1">
      <alignment horizontal="left"/>
    </xf>
    <xf numFmtId="15" fontId="1" fillId="0" borderId="18" xfId="0" applyNumberFormat="1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18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29"/>
  <sheetViews>
    <sheetView tabSelected="1" topLeftCell="B1" zoomScale="130" zoomScaleNormal="130" workbookViewId="0">
      <selection activeCell="C28" sqref="C28"/>
    </sheetView>
  </sheetViews>
  <sheetFormatPr defaultRowHeight="15"/>
  <cols>
    <col min="1" max="1" width="9.140625" style="1"/>
    <col min="2" max="2" width="1.7109375" style="1" customWidth="1"/>
    <col min="3" max="3" width="21.85546875" style="1" customWidth="1"/>
    <col min="4" max="5" width="16.28515625" style="1" customWidth="1"/>
    <col min="6" max="6" width="21.140625" style="1" customWidth="1"/>
    <col min="7" max="16384" width="9.140625" style="1"/>
  </cols>
  <sheetData>
    <row r="2" spans="1:6" ht="15.75" thickBot="1"/>
    <row r="3" spans="1:6" ht="15.75" thickBot="1">
      <c r="A3" s="2"/>
      <c r="B3" s="2"/>
      <c r="C3" s="24" t="s">
        <v>0</v>
      </c>
      <c r="D3" s="25"/>
      <c r="E3" s="25"/>
      <c r="F3" s="26"/>
    </row>
    <row r="4" spans="1:6">
      <c r="A4" s="4"/>
      <c r="B4" s="4"/>
      <c r="C4" s="5" t="s">
        <v>1</v>
      </c>
      <c r="D4" s="27" t="s">
        <v>24</v>
      </c>
      <c r="E4" s="28"/>
      <c r="F4" s="29"/>
    </row>
    <row r="5" spans="1:6">
      <c r="C5" s="7" t="s">
        <v>2</v>
      </c>
      <c r="D5" s="30" t="s">
        <v>25</v>
      </c>
      <c r="E5" s="31"/>
      <c r="F5" s="32"/>
    </row>
    <row r="6" spans="1:6">
      <c r="C6" s="7" t="s">
        <v>3</v>
      </c>
      <c r="D6" s="33">
        <v>42460</v>
      </c>
      <c r="E6" s="34"/>
      <c r="F6" s="35"/>
    </row>
    <row r="7" spans="1:6">
      <c r="C7" s="7" t="s">
        <v>4</v>
      </c>
      <c r="D7" s="33">
        <v>42490</v>
      </c>
      <c r="E7" s="34"/>
      <c r="F7" s="35"/>
    </row>
    <row r="8" spans="1:6">
      <c r="C8" s="7" t="s">
        <v>5</v>
      </c>
      <c r="D8" s="21">
        <v>31200</v>
      </c>
      <c r="E8" s="22"/>
      <c r="F8" s="23"/>
    </row>
    <row r="9" spans="1:6">
      <c r="C9" s="7" t="s">
        <v>6</v>
      </c>
      <c r="D9" s="8" t="s">
        <v>10</v>
      </c>
      <c r="E9" s="8" t="s">
        <v>11</v>
      </c>
      <c r="F9" s="9" t="s">
        <v>10</v>
      </c>
    </row>
    <row r="10" spans="1:6">
      <c r="C10" s="7" t="s">
        <v>7</v>
      </c>
      <c r="D10" s="16">
        <f>(D8/12)</f>
        <v>2600</v>
      </c>
      <c r="E10" s="8" t="s">
        <v>12</v>
      </c>
      <c r="F10" s="19">
        <f>(D10*8*0.01)</f>
        <v>208</v>
      </c>
    </row>
    <row r="11" spans="1:6">
      <c r="C11" s="7" t="s">
        <v>8</v>
      </c>
      <c r="D11" s="16">
        <f>(E19/12)</f>
        <v>500</v>
      </c>
      <c r="E11" s="8" t="s">
        <v>13</v>
      </c>
      <c r="F11" s="19">
        <f>(E22)</f>
        <v>636.83000000000004</v>
      </c>
    </row>
    <row r="12" spans="1:6">
      <c r="C12" s="7" t="s">
        <v>9</v>
      </c>
      <c r="D12" s="16">
        <f>(E20)</f>
        <v>100</v>
      </c>
      <c r="E12" s="8" t="s">
        <v>14</v>
      </c>
      <c r="F12" s="19">
        <f>((D10*1*0.01) + D11)</f>
        <v>526</v>
      </c>
    </row>
    <row r="13" spans="1:6">
      <c r="C13" s="3"/>
      <c r="D13" s="16"/>
      <c r="E13" s="8" t="s">
        <v>15</v>
      </c>
      <c r="F13" s="19">
        <f>(E23)</f>
        <v>70</v>
      </c>
    </row>
    <row r="14" spans="1:6">
      <c r="C14" s="10"/>
      <c r="D14" s="17"/>
      <c r="E14" s="11" t="s">
        <v>16</v>
      </c>
      <c r="F14" s="20">
        <f>(E25)</f>
        <v>630</v>
      </c>
    </row>
    <row r="15" spans="1:6" ht="15.75" thickBot="1">
      <c r="C15" s="14" t="s">
        <v>21</v>
      </c>
      <c r="D15" s="17">
        <f>SUM(D10,D11,D12)</f>
        <v>3200</v>
      </c>
      <c r="E15" s="11" t="s">
        <v>22</v>
      </c>
      <c r="F15" s="20">
        <f>(SUM(F10,F11,F12,F13,F14))</f>
        <v>2070.83</v>
      </c>
    </row>
    <row r="16" spans="1:6" ht="15.75" thickBot="1">
      <c r="C16" s="15" t="s">
        <v>23</v>
      </c>
      <c r="D16" s="18">
        <f>(D15-F15)</f>
        <v>1129.17</v>
      </c>
      <c r="E16" s="12"/>
      <c r="F16" s="13"/>
    </row>
    <row r="19" spans="3:5">
      <c r="C19" s="2" t="s">
        <v>19</v>
      </c>
      <c r="E19" s="1">
        <v>6000</v>
      </c>
    </row>
    <row r="20" spans="3:5">
      <c r="C20" s="2" t="s">
        <v>17</v>
      </c>
      <c r="E20" s="1">
        <v>100</v>
      </c>
    </row>
    <row r="21" spans="3:5">
      <c r="C21" s="2" t="s">
        <v>20</v>
      </c>
      <c r="E21" s="1">
        <v>8</v>
      </c>
    </row>
    <row r="22" spans="3:5">
      <c r="C22" s="2" t="s">
        <v>13</v>
      </c>
      <c r="E22" s="1">
        <v>636.83000000000004</v>
      </c>
    </row>
    <row r="23" spans="3:5">
      <c r="C23" s="2" t="s">
        <v>15</v>
      </c>
      <c r="E23" s="1">
        <v>70</v>
      </c>
    </row>
    <row r="24" spans="3:5">
      <c r="C24" s="2" t="s">
        <v>18</v>
      </c>
    </row>
    <row r="25" spans="3:5">
      <c r="C25" s="2" t="s">
        <v>16</v>
      </c>
      <c r="E25" s="1">
        <v>630</v>
      </c>
    </row>
    <row r="27" spans="3:5">
      <c r="C27" s="6" t="s">
        <v>26</v>
      </c>
      <c r="D27" s="36" t="s">
        <v>29</v>
      </c>
      <c r="E27" s="37"/>
    </row>
    <row r="28" spans="3:5">
      <c r="C28" s="6" t="s">
        <v>27</v>
      </c>
      <c r="D28" s="36" t="s">
        <v>30</v>
      </c>
      <c r="E28" s="37"/>
    </row>
    <row r="29" spans="3:5">
      <c r="C29" s="6" t="s">
        <v>28</v>
      </c>
      <c r="D29" s="36">
        <v>3</v>
      </c>
      <c r="E29" s="37"/>
    </row>
  </sheetData>
  <mergeCells count="9">
    <mergeCell ref="D27:E27"/>
    <mergeCell ref="D28:E28"/>
    <mergeCell ref="D29:E29"/>
    <mergeCell ref="D8:F8"/>
    <mergeCell ref="C3:F3"/>
    <mergeCell ref="D4:F4"/>
    <mergeCell ref="D5:F5"/>
    <mergeCell ref="D6:F6"/>
    <mergeCell ref="D7:F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cp:lastPrinted>2017-05-10T06:01:42Z</cp:lastPrinted>
  <dcterms:created xsi:type="dcterms:W3CDTF">2017-05-10T05:06:06Z</dcterms:created>
  <dcterms:modified xsi:type="dcterms:W3CDTF">2017-05-10T06:01:42Z</dcterms:modified>
</cp:coreProperties>
</file>